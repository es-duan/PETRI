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/Documents/UW_Bio_PhD/Kerr_Lab/Plasmid_evolution/PETRI/input_data/experimental_data/"/>
    </mc:Choice>
  </mc:AlternateContent>
  <xr:revisionPtr revIDLastSave="0" documentId="13_ncr:9_{4C2A407B-B1B3-A44E-A47C-5BE343111C98}" xr6:coauthVersionLast="47" xr6:coauthVersionMax="47" xr10:uidLastSave="{00000000-0000-0000-0000-000000000000}"/>
  <bookViews>
    <workbookView xWindow="7120" yWindow="1160" windowWidth="20860" windowHeight="14720" activeTab="2" xr2:uid="{1CB7323B-37AA-034D-A28C-3A161A7942B3}"/>
  </bookViews>
  <sheets>
    <sheet name="2026-02-18_compiled_LDM_plating" sheetId="1" r:id="rId1"/>
    <sheet name="turbidity" sheetId="2" r:id="rId2"/>
    <sheet name="LDM_estimate" sheetId="3" r:id="rId3"/>
  </sheets>
  <calcPr calcId="0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J3" i="2"/>
  <c r="J4" i="2"/>
  <c r="J5" i="2"/>
  <c r="J6" i="2"/>
  <c r="J7" i="2"/>
  <c r="J2" i="2"/>
  <c r="E3" i="2"/>
  <c r="E4" i="2"/>
  <c r="E5" i="2"/>
  <c r="E6" i="2"/>
  <c r="E7" i="2"/>
  <c r="E2" i="2"/>
  <c r="H4" i="3"/>
  <c r="H3" i="3"/>
</calcChain>
</file>

<file path=xl/sharedStrings.xml><?xml version="1.0" encoding="utf-8"?>
<sst xmlns="http://schemas.openxmlformats.org/spreadsheetml/2006/main" count="228" uniqueCount="33">
  <si>
    <t>Day</t>
  </si>
  <si>
    <t>Strain</t>
  </si>
  <si>
    <t>Replicate</t>
  </si>
  <si>
    <t>Time</t>
  </si>
  <si>
    <t>Dilution</t>
  </si>
  <si>
    <t>Plate.type</t>
  </si>
  <si>
    <t>Plate.cell.type</t>
  </si>
  <si>
    <t>Counts</t>
  </si>
  <si>
    <t>Density</t>
  </si>
  <si>
    <t>Average</t>
  </si>
  <si>
    <t>Tet50</t>
  </si>
  <si>
    <t>Donor</t>
  </si>
  <si>
    <t>Variable</t>
  </si>
  <si>
    <t>Value</t>
  </si>
  <si>
    <t>f</t>
  </si>
  <si>
    <t>D0</t>
  </si>
  <si>
    <t>Nal50</t>
  </si>
  <si>
    <t>Recipient</t>
  </si>
  <si>
    <t>R0</t>
  </si>
  <si>
    <t>LDM_mean</t>
  </si>
  <si>
    <t>Dt</t>
  </si>
  <si>
    <t>Rt</t>
  </si>
  <si>
    <t>p0</t>
  </si>
  <si>
    <t>t</t>
  </si>
  <si>
    <t>LDM estimate</t>
  </si>
  <si>
    <t>Time_in</t>
  </si>
  <si>
    <t>Time_out</t>
  </si>
  <si>
    <t>Turbid_wells</t>
  </si>
  <si>
    <t>Nonturbid_wells</t>
  </si>
  <si>
    <t>Total_wells</t>
  </si>
  <si>
    <t>Turbidity_hours</t>
  </si>
  <si>
    <t>Volume.plated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</si>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</sst>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1" fillId="0" borderId="0" xfId="42" applyFont="1"/>
    <xf numFmtId="20" fontId="0" fillId="0" borderId="0" xfId="0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1ECE-C774-A647-9E39-18DA349834E0}">
  <dimension ref="A1:K73"/>
  <sheetViews>
    <sheetView workbookViewId="0">
      <selection activeCell="F2" sqref="F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1">
        <v>45861</v>
      </c>
      <c r="B2">
        <v>84</v>
      </c>
      <c r="C2">
        <v>1</v>
      </c>
      <c r="D2">
        <v>0</v>
      </c>
      <c r="E2">
        <v>3</v>
      </c>
      <c r="F2">
        <v>100</v>
      </c>
      <c r="G2" t="s">
        <v>10</v>
      </c>
      <c r="H2" t="s">
        <v>11</v>
      </c>
      <c r="I2">
        <v>206</v>
      </c>
      <c r="J2" s="2">
        <v>2060000</v>
      </c>
      <c r="K2" s="2">
        <v>2720000</v>
      </c>
    </row>
    <row r="3" spans="1:11" x14ac:dyDescent="0.2">
      <c r="A3" s="1">
        <v>45861</v>
      </c>
      <c r="B3">
        <v>84</v>
      </c>
      <c r="C3">
        <v>2</v>
      </c>
      <c r="D3">
        <v>0</v>
      </c>
      <c r="E3">
        <v>3</v>
      </c>
      <c r="F3">
        <v>100</v>
      </c>
      <c r="G3" t="s">
        <v>10</v>
      </c>
      <c r="H3" t="s">
        <v>11</v>
      </c>
      <c r="I3">
        <v>266</v>
      </c>
      <c r="J3" s="2">
        <v>2660000</v>
      </c>
    </row>
    <row r="4" spans="1:11" x14ac:dyDescent="0.2">
      <c r="A4" s="1">
        <v>45861</v>
      </c>
      <c r="B4">
        <v>84</v>
      </c>
      <c r="C4">
        <v>3</v>
      </c>
      <c r="D4">
        <v>0</v>
      </c>
      <c r="E4">
        <v>3</v>
      </c>
      <c r="F4">
        <v>100</v>
      </c>
      <c r="G4" t="s">
        <v>10</v>
      </c>
      <c r="H4" t="s">
        <v>11</v>
      </c>
      <c r="I4">
        <v>344</v>
      </c>
      <c r="J4" s="2">
        <v>3440000</v>
      </c>
    </row>
    <row r="5" spans="1:11" x14ac:dyDescent="0.2">
      <c r="A5" s="1">
        <v>45861</v>
      </c>
      <c r="B5">
        <v>84</v>
      </c>
      <c r="C5">
        <v>1</v>
      </c>
      <c r="D5">
        <v>0</v>
      </c>
      <c r="E5">
        <v>3</v>
      </c>
      <c r="F5">
        <v>100</v>
      </c>
      <c r="G5" t="s">
        <v>16</v>
      </c>
      <c r="H5" t="s">
        <v>17</v>
      </c>
      <c r="I5">
        <v>157</v>
      </c>
      <c r="J5" s="2">
        <v>1570000</v>
      </c>
      <c r="K5" s="2">
        <v>1650000</v>
      </c>
    </row>
    <row r="6" spans="1:11" x14ac:dyDescent="0.2">
      <c r="A6" s="1">
        <v>45861</v>
      </c>
      <c r="B6">
        <v>84</v>
      </c>
      <c r="C6">
        <v>2</v>
      </c>
      <c r="D6">
        <v>0</v>
      </c>
      <c r="E6">
        <v>3</v>
      </c>
      <c r="F6">
        <v>100</v>
      </c>
      <c r="G6" t="s">
        <v>16</v>
      </c>
      <c r="H6" t="s">
        <v>17</v>
      </c>
      <c r="I6">
        <v>123</v>
      </c>
      <c r="J6" s="2">
        <v>1230000</v>
      </c>
    </row>
    <row r="7" spans="1:11" x14ac:dyDescent="0.2">
      <c r="A7" s="1">
        <v>45861</v>
      </c>
      <c r="B7">
        <v>84</v>
      </c>
      <c r="C7">
        <v>3</v>
      </c>
      <c r="D7">
        <v>0</v>
      </c>
      <c r="E7">
        <v>3</v>
      </c>
      <c r="F7">
        <v>100</v>
      </c>
      <c r="G7" t="s">
        <v>16</v>
      </c>
      <c r="H7" t="s">
        <v>17</v>
      </c>
      <c r="I7">
        <v>216</v>
      </c>
      <c r="J7" s="2">
        <v>2160000</v>
      </c>
    </row>
    <row r="8" spans="1:11" x14ac:dyDescent="0.2">
      <c r="A8" s="1">
        <v>45861</v>
      </c>
      <c r="B8">
        <v>84</v>
      </c>
      <c r="C8">
        <v>1</v>
      </c>
      <c r="D8">
        <v>1</v>
      </c>
      <c r="E8">
        <v>3</v>
      </c>
      <c r="F8">
        <v>100</v>
      </c>
      <c r="G8" t="s">
        <v>10</v>
      </c>
      <c r="H8" t="s">
        <v>11</v>
      </c>
      <c r="I8">
        <v>391</v>
      </c>
      <c r="J8" s="2">
        <v>3910000</v>
      </c>
      <c r="K8" s="2">
        <v>3940000</v>
      </c>
    </row>
    <row r="9" spans="1:11" x14ac:dyDescent="0.2">
      <c r="A9" s="1">
        <v>45861</v>
      </c>
      <c r="B9">
        <v>84</v>
      </c>
      <c r="C9">
        <v>2</v>
      </c>
      <c r="D9">
        <v>1</v>
      </c>
      <c r="E9">
        <v>4</v>
      </c>
      <c r="F9">
        <v>100</v>
      </c>
      <c r="G9" t="s">
        <v>10</v>
      </c>
      <c r="H9" t="s">
        <v>11</v>
      </c>
      <c r="I9">
        <v>37</v>
      </c>
      <c r="J9" s="2">
        <v>3700000</v>
      </c>
    </row>
    <row r="10" spans="1:11" x14ac:dyDescent="0.2">
      <c r="A10" s="1">
        <v>45861</v>
      </c>
      <c r="B10">
        <v>84</v>
      </c>
      <c r="C10">
        <v>3</v>
      </c>
      <c r="D10">
        <v>1</v>
      </c>
      <c r="E10">
        <v>4</v>
      </c>
      <c r="F10">
        <v>100</v>
      </c>
      <c r="G10" t="s">
        <v>10</v>
      </c>
      <c r="H10" t="s">
        <v>11</v>
      </c>
      <c r="I10">
        <v>42</v>
      </c>
      <c r="J10" s="2">
        <v>4200000</v>
      </c>
    </row>
    <row r="11" spans="1:11" x14ac:dyDescent="0.2">
      <c r="A11" s="1">
        <v>45861</v>
      </c>
      <c r="B11">
        <v>84</v>
      </c>
      <c r="C11">
        <v>1</v>
      </c>
      <c r="D11">
        <v>1</v>
      </c>
      <c r="E11">
        <v>3</v>
      </c>
      <c r="F11">
        <v>100</v>
      </c>
      <c r="G11" t="s">
        <v>16</v>
      </c>
      <c r="H11" t="s">
        <v>17</v>
      </c>
      <c r="I11">
        <v>359</v>
      </c>
      <c r="J11" s="2">
        <v>3590000</v>
      </c>
      <c r="K11" s="2">
        <v>2810000</v>
      </c>
    </row>
    <row r="12" spans="1:11" x14ac:dyDescent="0.2">
      <c r="A12" s="1">
        <v>45861</v>
      </c>
      <c r="B12">
        <v>84</v>
      </c>
      <c r="C12">
        <v>2</v>
      </c>
      <c r="D12">
        <v>1</v>
      </c>
      <c r="E12">
        <v>3</v>
      </c>
      <c r="F12">
        <v>100</v>
      </c>
      <c r="G12" t="s">
        <v>16</v>
      </c>
      <c r="H12" t="s">
        <v>17</v>
      </c>
      <c r="I12">
        <v>211</v>
      </c>
      <c r="J12" s="2">
        <v>2110000</v>
      </c>
    </row>
    <row r="13" spans="1:11" x14ac:dyDescent="0.2">
      <c r="A13" s="1">
        <v>45861</v>
      </c>
      <c r="B13">
        <v>84</v>
      </c>
      <c r="C13">
        <v>3</v>
      </c>
      <c r="D13">
        <v>1</v>
      </c>
      <c r="E13">
        <v>3</v>
      </c>
      <c r="F13">
        <v>100</v>
      </c>
      <c r="G13" t="s">
        <v>16</v>
      </c>
      <c r="H13" t="s">
        <v>17</v>
      </c>
      <c r="I13">
        <v>272</v>
      </c>
      <c r="J13" s="2">
        <v>2720000</v>
      </c>
    </row>
    <row r="14" spans="1:11" x14ac:dyDescent="0.2">
      <c r="A14" s="1">
        <v>45861</v>
      </c>
      <c r="B14">
        <v>85</v>
      </c>
      <c r="C14">
        <v>1</v>
      </c>
      <c r="D14">
        <v>0</v>
      </c>
      <c r="E14">
        <v>3</v>
      </c>
      <c r="F14">
        <v>70</v>
      </c>
      <c r="G14" t="s">
        <v>10</v>
      </c>
      <c r="H14" t="s">
        <v>11</v>
      </c>
      <c r="I14">
        <v>101</v>
      </c>
      <c r="J14" s="2">
        <v>1440000</v>
      </c>
      <c r="K14" s="2">
        <v>1210000</v>
      </c>
    </row>
    <row r="15" spans="1:11" x14ac:dyDescent="0.2">
      <c r="A15" s="1">
        <v>45861</v>
      </c>
      <c r="B15">
        <v>85</v>
      </c>
      <c r="C15">
        <v>2</v>
      </c>
      <c r="D15">
        <v>0</v>
      </c>
      <c r="E15">
        <v>3</v>
      </c>
      <c r="F15">
        <v>100</v>
      </c>
      <c r="G15" t="s">
        <v>10</v>
      </c>
      <c r="H15" t="s">
        <v>11</v>
      </c>
      <c r="I15">
        <v>90</v>
      </c>
      <c r="J15" s="2">
        <v>900000</v>
      </c>
    </row>
    <row r="16" spans="1:11" x14ac:dyDescent="0.2">
      <c r="A16" s="1">
        <v>45861</v>
      </c>
      <c r="B16">
        <v>85</v>
      </c>
      <c r="C16">
        <v>3</v>
      </c>
      <c r="D16">
        <v>0</v>
      </c>
      <c r="E16">
        <v>3</v>
      </c>
      <c r="F16">
        <v>100</v>
      </c>
      <c r="G16" t="s">
        <v>10</v>
      </c>
      <c r="H16" t="s">
        <v>11</v>
      </c>
      <c r="I16">
        <v>128</v>
      </c>
      <c r="J16" s="2">
        <v>1280000</v>
      </c>
    </row>
    <row r="17" spans="1:11" x14ac:dyDescent="0.2">
      <c r="A17" s="1">
        <v>45861</v>
      </c>
      <c r="B17">
        <v>85</v>
      </c>
      <c r="C17">
        <v>1</v>
      </c>
      <c r="D17">
        <v>0</v>
      </c>
      <c r="E17">
        <v>3</v>
      </c>
      <c r="F17">
        <v>100</v>
      </c>
      <c r="G17" t="s">
        <v>16</v>
      </c>
      <c r="H17" t="s">
        <v>17</v>
      </c>
      <c r="I17">
        <v>179</v>
      </c>
      <c r="J17" s="2">
        <v>1790000</v>
      </c>
      <c r="K17" s="2">
        <v>1750000</v>
      </c>
    </row>
    <row r="18" spans="1:11" x14ac:dyDescent="0.2">
      <c r="A18" s="1">
        <v>45861</v>
      </c>
      <c r="B18">
        <v>85</v>
      </c>
      <c r="C18">
        <v>2</v>
      </c>
      <c r="D18">
        <v>0</v>
      </c>
      <c r="E18">
        <v>3</v>
      </c>
      <c r="F18">
        <v>100</v>
      </c>
      <c r="G18" t="s">
        <v>16</v>
      </c>
      <c r="H18" t="s">
        <v>17</v>
      </c>
      <c r="I18">
        <v>173</v>
      </c>
      <c r="J18" s="2">
        <v>1730000</v>
      </c>
    </row>
    <row r="19" spans="1:11" x14ac:dyDescent="0.2">
      <c r="A19" s="1">
        <v>45861</v>
      </c>
      <c r="B19">
        <v>85</v>
      </c>
      <c r="C19">
        <v>3</v>
      </c>
      <c r="D19">
        <v>0</v>
      </c>
      <c r="E19">
        <v>3</v>
      </c>
      <c r="F19">
        <v>100</v>
      </c>
      <c r="G19" t="s">
        <v>16</v>
      </c>
      <c r="H19" t="s">
        <v>17</v>
      </c>
      <c r="I19">
        <v>173</v>
      </c>
      <c r="J19" s="2">
        <v>1730000</v>
      </c>
    </row>
    <row r="20" spans="1:11" x14ac:dyDescent="0.2">
      <c r="A20" s="1">
        <v>45861</v>
      </c>
      <c r="B20">
        <v>85</v>
      </c>
      <c r="C20">
        <v>1</v>
      </c>
      <c r="D20">
        <v>2</v>
      </c>
      <c r="E20">
        <v>3</v>
      </c>
      <c r="F20">
        <v>100</v>
      </c>
      <c r="G20" t="s">
        <v>10</v>
      </c>
      <c r="H20" t="s">
        <v>11</v>
      </c>
      <c r="I20">
        <v>295</v>
      </c>
      <c r="J20" s="2">
        <v>2950000</v>
      </c>
      <c r="K20" s="2">
        <v>3160000</v>
      </c>
    </row>
    <row r="21" spans="1:11" x14ac:dyDescent="0.2">
      <c r="A21" s="1">
        <v>45861</v>
      </c>
      <c r="B21">
        <v>85</v>
      </c>
      <c r="C21">
        <v>2</v>
      </c>
      <c r="D21">
        <v>2</v>
      </c>
      <c r="E21">
        <v>3</v>
      </c>
      <c r="F21">
        <v>100</v>
      </c>
      <c r="G21" t="s">
        <v>10</v>
      </c>
      <c r="H21" t="s">
        <v>11</v>
      </c>
      <c r="I21">
        <v>294</v>
      </c>
      <c r="J21" s="2">
        <v>2940000</v>
      </c>
    </row>
    <row r="22" spans="1:11" x14ac:dyDescent="0.2">
      <c r="A22" s="1">
        <v>45861</v>
      </c>
      <c r="B22">
        <v>85</v>
      </c>
      <c r="C22">
        <v>3</v>
      </c>
      <c r="D22">
        <v>2</v>
      </c>
      <c r="E22">
        <v>3</v>
      </c>
      <c r="F22">
        <v>100</v>
      </c>
      <c r="G22" t="s">
        <v>10</v>
      </c>
      <c r="H22" t="s">
        <v>11</v>
      </c>
      <c r="I22">
        <v>358</v>
      </c>
      <c r="J22" s="2">
        <v>3580000</v>
      </c>
    </row>
    <row r="23" spans="1:11" x14ac:dyDescent="0.2">
      <c r="A23" s="1">
        <v>45861</v>
      </c>
      <c r="B23">
        <v>85</v>
      </c>
      <c r="C23">
        <v>1</v>
      </c>
      <c r="D23">
        <v>2</v>
      </c>
      <c r="E23">
        <v>3</v>
      </c>
      <c r="F23">
        <v>100</v>
      </c>
      <c r="G23" t="s">
        <v>16</v>
      </c>
      <c r="H23" t="s">
        <v>17</v>
      </c>
      <c r="I23">
        <v>447</v>
      </c>
      <c r="J23" s="2">
        <v>4470000</v>
      </c>
      <c r="K23" s="2">
        <v>5120000</v>
      </c>
    </row>
    <row r="24" spans="1:11" x14ac:dyDescent="0.2">
      <c r="A24" s="1">
        <v>45861</v>
      </c>
      <c r="B24">
        <v>85</v>
      </c>
      <c r="C24">
        <v>2</v>
      </c>
      <c r="D24">
        <v>2</v>
      </c>
      <c r="E24">
        <v>3</v>
      </c>
      <c r="F24">
        <v>100</v>
      </c>
      <c r="G24" t="s">
        <v>16</v>
      </c>
      <c r="H24" t="s">
        <v>17</v>
      </c>
      <c r="I24">
        <v>522</v>
      </c>
      <c r="J24" s="2">
        <v>5220000</v>
      </c>
    </row>
    <row r="25" spans="1:11" x14ac:dyDescent="0.2">
      <c r="A25" s="1">
        <v>45861</v>
      </c>
      <c r="B25">
        <v>85</v>
      </c>
      <c r="C25">
        <v>3</v>
      </c>
      <c r="D25">
        <v>2</v>
      </c>
      <c r="E25">
        <v>3</v>
      </c>
      <c r="F25">
        <v>100</v>
      </c>
      <c r="G25" t="s">
        <v>16</v>
      </c>
      <c r="H25" t="s">
        <v>17</v>
      </c>
      <c r="I25">
        <v>568</v>
      </c>
      <c r="J25" s="2">
        <v>5680000</v>
      </c>
    </row>
    <row r="26" spans="1:11" x14ac:dyDescent="0.2">
      <c r="A26" s="1">
        <v>45894</v>
      </c>
      <c r="B26">
        <v>84</v>
      </c>
      <c r="C26">
        <v>1</v>
      </c>
      <c r="D26">
        <v>0</v>
      </c>
      <c r="E26">
        <v>3</v>
      </c>
      <c r="F26">
        <v>100</v>
      </c>
      <c r="G26" t="s">
        <v>10</v>
      </c>
      <c r="H26" t="s">
        <v>11</v>
      </c>
      <c r="I26">
        <v>210</v>
      </c>
      <c r="J26" s="2">
        <v>2100000</v>
      </c>
      <c r="K26" s="2">
        <v>3110000</v>
      </c>
    </row>
    <row r="27" spans="1:11" x14ac:dyDescent="0.2">
      <c r="A27" s="1">
        <v>45894</v>
      </c>
      <c r="B27">
        <v>84</v>
      </c>
      <c r="C27">
        <v>2</v>
      </c>
      <c r="D27">
        <v>0</v>
      </c>
      <c r="E27">
        <v>3</v>
      </c>
      <c r="F27">
        <v>100</v>
      </c>
      <c r="G27" t="s">
        <v>10</v>
      </c>
      <c r="H27" t="s">
        <v>11</v>
      </c>
      <c r="I27">
        <v>252</v>
      </c>
      <c r="J27" s="2">
        <v>2520000</v>
      </c>
    </row>
    <row r="28" spans="1:11" x14ac:dyDescent="0.2">
      <c r="A28" s="1">
        <v>45894</v>
      </c>
      <c r="B28">
        <v>84</v>
      </c>
      <c r="C28">
        <v>3</v>
      </c>
      <c r="D28">
        <v>0</v>
      </c>
      <c r="E28">
        <v>4</v>
      </c>
      <c r="F28">
        <v>100</v>
      </c>
      <c r="G28" t="s">
        <v>10</v>
      </c>
      <c r="H28" t="s">
        <v>11</v>
      </c>
      <c r="I28">
        <v>47</v>
      </c>
      <c r="J28" s="2">
        <v>4700000</v>
      </c>
    </row>
    <row r="29" spans="1:11" x14ac:dyDescent="0.2">
      <c r="A29" s="1">
        <v>45894</v>
      </c>
      <c r="B29">
        <v>84</v>
      </c>
      <c r="C29">
        <v>1</v>
      </c>
      <c r="D29">
        <v>0</v>
      </c>
      <c r="E29">
        <v>3</v>
      </c>
      <c r="F29">
        <v>100</v>
      </c>
      <c r="G29" t="s">
        <v>16</v>
      </c>
      <c r="H29" t="s">
        <v>17</v>
      </c>
      <c r="I29">
        <v>162</v>
      </c>
      <c r="J29" s="2">
        <v>1620000</v>
      </c>
      <c r="K29" s="2">
        <v>1780000</v>
      </c>
    </row>
    <row r="30" spans="1:11" x14ac:dyDescent="0.2">
      <c r="A30" s="1">
        <v>45894</v>
      </c>
      <c r="B30">
        <v>84</v>
      </c>
      <c r="C30">
        <v>2</v>
      </c>
      <c r="D30">
        <v>0</v>
      </c>
      <c r="E30">
        <v>3</v>
      </c>
      <c r="F30">
        <v>100</v>
      </c>
      <c r="G30" t="s">
        <v>16</v>
      </c>
      <c r="H30" t="s">
        <v>17</v>
      </c>
      <c r="I30">
        <v>166</v>
      </c>
      <c r="J30" s="2">
        <v>1660000</v>
      </c>
    </row>
    <row r="31" spans="1:11" x14ac:dyDescent="0.2">
      <c r="A31" s="1">
        <v>45894</v>
      </c>
      <c r="B31">
        <v>84</v>
      </c>
      <c r="C31">
        <v>3</v>
      </c>
      <c r="D31">
        <v>0</v>
      </c>
      <c r="E31">
        <v>3</v>
      </c>
      <c r="F31">
        <v>100</v>
      </c>
      <c r="G31" t="s">
        <v>16</v>
      </c>
      <c r="H31" t="s">
        <v>17</v>
      </c>
      <c r="I31">
        <v>206</v>
      </c>
      <c r="J31" s="2">
        <v>2060000</v>
      </c>
    </row>
    <row r="32" spans="1:11" x14ac:dyDescent="0.2">
      <c r="A32" s="1">
        <v>45894</v>
      </c>
      <c r="B32">
        <v>84</v>
      </c>
      <c r="C32">
        <v>1</v>
      </c>
      <c r="D32">
        <v>1</v>
      </c>
      <c r="E32">
        <v>4</v>
      </c>
      <c r="F32">
        <v>100</v>
      </c>
      <c r="G32" t="s">
        <v>10</v>
      </c>
      <c r="H32" t="s">
        <v>11</v>
      </c>
      <c r="I32">
        <v>37</v>
      </c>
      <c r="J32" s="2">
        <v>3700000</v>
      </c>
      <c r="K32" s="2">
        <v>3890000</v>
      </c>
    </row>
    <row r="33" spans="1:11" x14ac:dyDescent="0.2">
      <c r="A33" s="1">
        <v>45894</v>
      </c>
      <c r="B33">
        <v>84</v>
      </c>
      <c r="C33">
        <v>2</v>
      </c>
      <c r="D33">
        <v>1</v>
      </c>
      <c r="E33">
        <v>3</v>
      </c>
      <c r="F33">
        <v>100</v>
      </c>
      <c r="G33" t="s">
        <v>10</v>
      </c>
      <c r="H33" t="s">
        <v>11</v>
      </c>
      <c r="I33">
        <v>376</v>
      </c>
      <c r="J33" s="2">
        <v>3760000</v>
      </c>
    </row>
    <row r="34" spans="1:11" x14ac:dyDescent="0.2">
      <c r="A34" s="1">
        <v>45894</v>
      </c>
      <c r="B34">
        <v>84</v>
      </c>
      <c r="C34">
        <v>3</v>
      </c>
      <c r="D34">
        <v>1</v>
      </c>
      <c r="E34">
        <v>4</v>
      </c>
      <c r="F34">
        <v>100</v>
      </c>
      <c r="G34" t="s">
        <v>10</v>
      </c>
      <c r="H34" t="s">
        <v>11</v>
      </c>
      <c r="I34">
        <v>42</v>
      </c>
      <c r="J34" s="2">
        <v>4200000</v>
      </c>
    </row>
    <row r="35" spans="1:11" x14ac:dyDescent="0.2">
      <c r="A35" s="1">
        <v>45894</v>
      </c>
      <c r="B35">
        <v>84</v>
      </c>
      <c r="C35">
        <v>1</v>
      </c>
      <c r="D35">
        <v>1</v>
      </c>
      <c r="E35">
        <v>4</v>
      </c>
      <c r="F35">
        <v>100</v>
      </c>
      <c r="G35" t="s">
        <v>16</v>
      </c>
      <c r="H35" t="s">
        <v>17</v>
      </c>
      <c r="I35">
        <v>32</v>
      </c>
      <c r="J35" s="2">
        <v>3200000</v>
      </c>
      <c r="K35" s="2">
        <v>3070000</v>
      </c>
    </row>
    <row r="36" spans="1:11" x14ac:dyDescent="0.2">
      <c r="A36" s="1">
        <v>45894</v>
      </c>
      <c r="B36">
        <v>84</v>
      </c>
      <c r="C36">
        <v>2</v>
      </c>
      <c r="D36">
        <v>1</v>
      </c>
      <c r="E36">
        <v>3</v>
      </c>
      <c r="F36">
        <v>100</v>
      </c>
      <c r="G36" t="s">
        <v>16</v>
      </c>
      <c r="H36" t="s">
        <v>17</v>
      </c>
      <c r="I36">
        <v>330</v>
      </c>
      <c r="J36" s="2">
        <v>3300000</v>
      </c>
    </row>
    <row r="37" spans="1:11" x14ac:dyDescent="0.2">
      <c r="A37" s="1">
        <v>45894</v>
      </c>
      <c r="B37">
        <v>84</v>
      </c>
      <c r="C37">
        <v>3</v>
      </c>
      <c r="D37">
        <v>1</v>
      </c>
      <c r="E37">
        <v>4</v>
      </c>
      <c r="F37">
        <v>100</v>
      </c>
      <c r="G37" t="s">
        <v>16</v>
      </c>
      <c r="H37" t="s">
        <v>17</v>
      </c>
      <c r="I37">
        <v>27</v>
      </c>
      <c r="J37" s="2">
        <v>2700000</v>
      </c>
    </row>
    <row r="38" spans="1:11" x14ac:dyDescent="0.2">
      <c r="A38" s="1">
        <v>45894</v>
      </c>
      <c r="B38">
        <v>85</v>
      </c>
      <c r="C38">
        <v>1</v>
      </c>
      <c r="D38">
        <v>0</v>
      </c>
      <c r="E38">
        <v>4</v>
      </c>
      <c r="F38">
        <v>100</v>
      </c>
      <c r="G38" t="s">
        <v>10</v>
      </c>
      <c r="H38" t="s">
        <v>11</v>
      </c>
      <c r="I38">
        <v>49</v>
      </c>
      <c r="J38" s="2">
        <v>4900000</v>
      </c>
      <c r="K38" s="2">
        <v>4730000</v>
      </c>
    </row>
    <row r="39" spans="1:11" x14ac:dyDescent="0.2">
      <c r="A39" s="1">
        <v>45894</v>
      </c>
      <c r="B39">
        <v>85</v>
      </c>
      <c r="C39">
        <v>2</v>
      </c>
      <c r="D39">
        <v>0</v>
      </c>
      <c r="E39">
        <v>4</v>
      </c>
      <c r="F39">
        <v>100</v>
      </c>
      <c r="G39" t="s">
        <v>10</v>
      </c>
      <c r="H39" t="s">
        <v>11</v>
      </c>
      <c r="I39">
        <v>41</v>
      </c>
      <c r="J39" s="2">
        <v>4100000</v>
      </c>
    </row>
    <row r="40" spans="1:11" x14ac:dyDescent="0.2">
      <c r="A40" s="1">
        <v>45894</v>
      </c>
      <c r="B40">
        <v>85</v>
      </c>
      <c r="C40">
        <v>3</v>
      </c>
      <c r="D40">
        <v>0</v>
      </c>
      <c r="E40">
        <v>4</v>
      </c>
      <c r="F40">
        <v>100</v>
      </c>
      <c r="G40" t="s">
        <v>10</v>
      </c>
      <c r="H40" t="s">
        <v>11</v>
      </c>
      <c r="I40">
        <v>52</v>
      </c>
      <c r="J40" s="2">
        <v>5200000</v>
      </c>
    </row>
    <row r="41" spans="1:11" x14ac:dyDescent="0.2">
      <c r="A41" s="1">
        <v>45894</v>
      </c>
      <c r="B41">
        <v>85</v>
      </c>
      <c r="C41">
        <v>1</v>
      </c>
      <c r="D41">
        <v>0</v>
      </c>
      <c r="E41">
        <v>3</v>
      </c>
      <c r="F41">
        <v>100</v>
      </c>
      <c r="G41" t="s">
        <v>16</v>
      </c>
      <c r="H41" t="s">
        <v>17</v>
      </c>
      <c r="I41">
        <v>224</v>
      </c>
      <c r="J41" s="2">
        <v>2240000</v>
      </c>
      <c r="K41" s="2">
        <v>2420000</v>
      </c>
    </row>
    <row r="42" spans="1:11" x14ac:dyDescent="0.2">
      <c r="A42" s="1">
        <v>45894</v>
      </c>
      <c r="B42">
        <v>85</v>
      </c>
      <c r="C42">
        <v>2</v>
      </c>
      <c r="D42">
        <v>0</v>
      </c>
      <c r="E42">
        <v>3</v>
      </c>
      <c r="F42">
        <v>100</v>
      </c>
      <c r="G42" t="s">
        <v>16</v>
      </c>
      <c r="H42" t="s">
        <v>17</v>
      </c>
      <c r="I42">
        <v>232</v>
      </c>
      <c r="J42" s="2">
        <v>2320000</v>
      </c>
    </row>
    <row r="43" spans="1:11" x14ac:dyDescent="0.2">
      <c r="A43" s="1">
        <v>45894</v>
      </c>
      <c r="B43">
        <v>85</v>
      </c>
      <c r="C43">
        <v>3</v>
      </c>
      <c r="D43">
        <v>0</v>
      </c>
      <c r="E43">
        <v>3</v>
      </c>
      <c r="F43">
        <v>100</v>
      </c>
      <c r="G43" t="s">
        <v>16</v>
      </c>
      <c r="H43" t="s">
        <v>17</v>
      </c>
      <c r="I43">
        <v>270</v>
      </c>
      <c r="J43" s="2">
        <v>2700000</v>
      </c>
    </row>
    <row r="44" spans="1:11" x14ac:dyDescent="0.2">
      <c r="A44" s="1">
        <v>45894</v>
      </c>
      <c r="B44">
        <v>85</v>
      </c>
      <c r="C44">
        <v>1</v>
      </c>
      <c r="D44">
        <v>2</v>
      </c>
      <c r="E44">
        <v>4</v>
      </c>
      <c r="F44">
        <v>100</v>
      </c>
      <c r="G44" t="s">
        <v>10</v>
      </c>
      <c r="H44" t="s">
        <v>11</v>
      </c>
      <c r="I44">
        <v>87</v>
      </c>
      <c r="J44" s="2">
        <v>8700000</v>
      </c>
      <c r="K44" s="2">
        <v>9670000</v>
      </c>
    </row>
    <row r="45" spans="1:11" x14ac:dyDescent="0.2">
      <c r="A45" s="1">
        <v>45894</v>
      </c>
      <c r="B45">
        <v>85</v>
      </c>
      <c r="C45">
        <v>2</v>
      </c>
      <c r="D45">
        <v>2</v>
      </c>
      <c r="E45">
        <v>4</v>
      </c>
      <c r="F45">
        <v>100</v>
      </c>
      <c r="G45" t="s">
        <v>10</v>
      </c>
      <c r="H45" t="s">
        <v>11</v>
      </c>
      <c r="I45">
        <v>96</v>
      </c>
      <c r="J45" s="2">
        <v>9600000</v>
      </c>
    </row>
    <row r="46" spans="1:11" x14ac:dyDescent="0.2">
      <c r="A46" s="1">
        <v>45894</v>
      </c>
      <c r="B46">
        <v>85</v>
      </c>
      <c r="C46">
        <v>3</v>
      </c>
      <c r="D46">
        <v>2</v>
      </c>
      <c r="E46">
        <v>4</v>
      </c>
      <c r="F46">
        <v>100</v>
      </c>
      <c r="G46" t="s">
        <v>10</v>
      </c>
      <c r="H46" t="s">
        <v>11</v>
      </c>
      <c r="I46">
        <v>107</v>
      </c>
      <c r="J46" s="2">
        <v>10700000</v>
      </c>
    </row>
    <row r="47" spans="1:11" x14ac:dyDescent="0.2">
      <c r="A47" s="1">
        <v>45894</v>
      </c>
      <c r="B47">
        <v>85</v>
      </c>
      <c r="C47">
        <v>1</v>
      </c>
      <c r="D47">
        <v>2</v>
      </c>
      <c r="E47">
        <v>4</v>
      </c>
      <c r="F47">
        <v>100</v>
      </c>
      <c r="G47" t="s">
        <v>16</v>
      </c>
      <c r="H47" t="s">
        <v>17</v>
      </c>
      <c r="I47">
        <v>52</v>
      </c>
      <c r="J47" s="2">
        <v>5200000</v>
      </c>
      <c r="K47" s="2">
        <v>5370000</v>
      </c>
    </row>
    <row r="48" spans="1:11" x14ac:dyDescent="0.2">
      <c r="A48" s="1">
        <v>45894</v>
      </c>
      <c r="B48">
        <v>85</v>
      </c>
      <c r="C48">
        <v>2</v>
      </c>
      <c r="D48">
        <v>2</v>
      </c>
      <c r="E48">
        <v>4</v>
      </c>
      <c r="F48">
        <v>100</v>
      </c>
      <c r="G48" t="s">
        <v>16</v>
      </c>
      <c r="H48" t="s">
        <v>17</v>
      </c>
      <c r="I48">
        <v>53</v>
      </c>
      <c r="J48" s="2">
        <v>5300000</v>
      </c>
    </row>
    <row r="49" spans="1:11" x14ac:dyDescent="0.2">
      <c r="A49" s="1">
        <v>45894</v>
      </c>
      <c r="B49">
        <v>85</v>
      </c>
      <c r="C49">
        <v>3</v>
      </c>
      <c r="D49">
        <v>2</v>
      </c>
      <c r="E49">
        <v>4</v>
      </c>
      <c r="F49">
        <v>100</v>
      </c>
      <c r="G49" t="s">
        <v>16</v>
      </c>
      <c r="H49" t="s">
        <v>17</v>
      </c>
      <c r="I49">
        <v>56</v>
      </c>
      <c r="J49" s="2">
        <v>5600000</v>
      </c>
    </row>
    <row r="50" spans="1:11" x14ac:dyDescent="0.2">
      <c r="A50" s="1">
        <v>45911</v>
      </c>
      <c r="B50">
        <v>84</v>
      </c>
      <c r="C50">
        <v>1</v>
      </c>
      <c r="D50">
        <v>0</v>
      </c>
      <c r="E50">
        <v>3</v>
      </c>
      <c r="F50">
        <v>100</v>
      </c>
      <c r="G50" t="s">
        <v>10</v>
      </c>
      <c r="H50" t="s">
        <v>11</v>
      </c>
      <c r="I50">
        <v>68</v>
      </c>
      <c r="J50" s="2">
        <v>680000</v>
      </c>
      <c r="K50" s="2">
        <v>613000</v>
      </c>
    </row>
    <row r="51" spans="1:11" x14ac:dyDescent="0.2">
      <c r="A51" s="1">
        <v>45911</v>
      </c>
      <c r="B51">
        <v>84</v>
      </c>
      <c r="C51">
        <v>2</v>
      </c>
      <c r="D51">
        <v>0</v>
      </c>
      <c r="E51">
        <v>3</v>
      </c>
      <c r="F51">
        <v>100</v>
      </c>
      <c r="G51" t="s">
        <v>10</v>
      </c>
      <c r="H51" t="s">
        <v>11</v>
      </c>
      <c r="I51">
        <v>54</v>
      </c>
      <c r="J51" s="2">
        <v>540000</v>
      </c>
    </row>
    <row r="52" spans="1:11" x14ac:dyDescent="0.2">
      <c r="A52" s="1">
        <v>45911</v>
      </c>
      <c r="B52">
        <v>84</v>
      </c>
      <c r="C52">
        <v>3</v>
      </c>
      <c r="D52">
        <v>0</v>
      </c>
      <c r="E52">
        <v>3</v>
      </c>
      <c r="F52">
        <v>100</v>
      </c>
      <c r="G52" t="s">
        <v>10</v>
      </c>
      <c r="H52" t="s">
        <v>11</v>
      </c>
      <c r="I52">
        <v>62</v>
      </c>
      <c r="J52" s="2">
        <v>620000</v>
      </c>
    </row>
    <row r="53" spans="1:11" x14ac:dyDescent="0.2">
      <c r="A53" s="1">
        <v>45911</v>
      </c>
      <c r="B53">
        <v>84</v>
      </c>
      <c r="C53">
        <v>1</v>
      </c>
      <c r="D53">
        <v>0</v>
      </c>
      <c r="E53">
        <v>4</v>
      </c>
      <c r="F53">
        <v>100</v>
      </c>
      <c r="G53" t="s">
        <v>16</v>
      </c>
      <c r="H53" t="s">
        <v>17</v>
      </c>
      <c r="I53">
        <v>15</v>
      </c>
      <c r="J53" s="2">
        <v>1500000</v>
      </c>
      <c r="K53" s="2">
        <v>2130000</v>
      </c>
    </row>
    <row r="54" spans="1:11" x14ac:dyDescent="0.2">
      <c r="A54" s="1">
        <v>45911</v>
      </c>
      <c r="B54">
        <v>84</v>
      </c>
      <c r="C54">
        <v>2</v>
      </c>
      <c r="D54">
        <v>0</v>
      </c>
      <c r="E54">
        <v>4</v>
      </c>
      <c r="F54">
        <v>100</v>
      </c>
      <c r="G54" t="s">
        <v>16</v>
      </c>
      <c r="H54" t="s">
        <v>17</v>
      </c>
      <c r="I54">
        <v>23</v>
      </c>
      <c r="J54" s="2">
        <v>2300000</v>
      </c>
    </row>
    <row r="55" spans="1:11" x14ac:dyDescent="0.2">
      <c r="A55" s="1">
        <v>45911</v>
      </c>
      <c r="B55">
        <v>84</v>
      </c>
      <c r="C55">
        <v>3</v>
      </c>
      <c r="D55">
        <v>0</v>
      </c>
      <c r="E55">
        <v>4</v>
      </c>
      <c r="F55">
        <v>100</v>
      </c>
      <c r="G55" t="s">
        <v>16</v>
      </c>
      <c r="H55" t="s">
        <v>17</v>
      </c>
      <c r="I55">
        <v>26</v>
      </c>
      <c r="J55" s="2">
        <v>2600000</v>
      </c>
    </row>
    <row r="56" spans="1:11" x14ac:dyDescent="0.2">
      <c r="A56" s="1">
        <v>45911</v>
      </c>
      <c r="B56">
        <v>84</v>
      </c>
      <c r="C56">
        <v>1</v>
      </c>
      <c r="D56">
        <v>1</v>
      </c>
      <c r="E56">
        <v>3</v>
      </c>
      <c r="F56">
        <v>100</v>
      </c>
      <c r="G56" t="s">
        <v>10</v>
      </c>
      <c r="H56" t="s">
        <v>11</v>
      </c>
      <c r="I56">
        <v>64</v>
      </c>
      <c r="J56" s="2">
        <v>640000</v>
      </c>
      <c r="K56" s="2">
        <v>653000</v>
      </c>
    </row>
    <row r="57" spans="1:11" x14ac:dyDescent="0.2">
      <c r="A57" s="1">
        <v>45911</v>
      </c>
      <c r="B57">
        <v>84</v>
      </c>
      <c r="C57">
        <v>2</v>
      </c>
      <c r="D57">
        <v>1</v>
      </c>
      <c r="E57">
        <v>3</v>
      </c>
      <c r="F57">
        <v>100</v>
      </c>
      <c r="G57" t="s">
        <v>10</v>
      </c>
      <c r="H57" t="s">
        <v>11</v>
      </c>
      <c r="I57">
        <v>78</v>
      </c>
      <c r="J57" s="2">
        <v>780000</v>
      </c>
    </row>
    <row r="58" spans="1:11" x14ac:dyDescent="0.2">
      <c r="A58" s="1">
        <v>45911</v>
      </c>
      <c r="B58">
        <v>84</v>
      </c>
      <c r="C58">
        <v>3</v>
      </c>
      <c r="D58">
        <v>1</v>
      </c>
      <c r="E58">
        <v>3</v>
      </c>
      <c r="F58">
        <v>100</v>
      </c>
      <c r="G58" t="s">
        <v>10</v>
      </c>
      <c r="H58" t="s">
        <v>11</v>
      </c>
      <c r="I58">
        <v>54</v>
      </c>
      <c r="J58" s="2">
        <v>540000</v>
      </c>
    </row>
    <row r="59" spans="1:11" x14ac:dyDescent="0.2">
      <c r="A59" s="1">
        <v>45911</v>
      </c>
      <c r="B59">
        <v>84</v>
      </c>
      <c r="C59">
        <v>1</v>
      </c>
      <c r="D59">
        <v>1</v>
      </c>
      <c r="E59">
        <v>4</v>
      </c>
      <c r="F59">
        <v>100</v>
      </c>
      <c r="G59" t="s">
        <v>16</v>
      </c>
      <c r="H59" t="s">
        <v>17</v>
      </c>
      <c r="I59">
        <v>22</v>
      </c>
      <c r="J59" s="2">
        <v>2200000</v>
      </c>
      <c r="K59" s="2">
        <v>3200000</v>
      </c>
    </row>
    <row r="60" spans="1:11" x14ac:dyDescent="0.2">
      <c r="A60" s="1">
        <v>45911</v>
      </c>
      <c r="B60">
        <v>84</v>
      </c>
      <c r="C60">
        <v>2</v>
      </c>
      <c r="D60">
        <v>1</v>
      </c>
      <c r="E60">
        <v>4</v>
      </c>
      <c r="F60">
        <v>100</v>
      </c>
      <c r="G60" t="s">
        <v>16</v>
      </c>
      <c r="H60" t="s">
        <v>17</v>
      </c>
      <c r="I60">
        <v>44</v>
      </c>
      <c r="J60" s="2">
        <v>4400000</v>
      </c>
    </row>
    <row r="61" spans="1:11" x14ac:dyDescent="0.2">
      <c r="A61" s="1">
        <v>45911</v>
      </c>
      <c r="B61">
        <v>84</v>
      </c>
      <c r="C61">
        <v>3</v>
      </c>
      <c r="D61">
        <v>1</v>
      </c>
      <c r="E61">
        <v>4</v>
      </c>
      <c r="F61">
        <v>100</v>
      </c>
      <c r="G61" t="s">
        <v>16</v>
      </c>
      <c r="H61" t="s">
        <v>17</v>
      </c>
      <c r="I61">
        <v>30</v>
      </c>
      <c r="J61" s="2">
        <v>3000000</v>
      </c>
    </row>
    <row r="62" spans="1:11" x14ac:dyDescent="0.2">
      <c r="A62" s="1">
        <v>45911</v>
      </c>
      <c r="B62">
        <v>85</v>
      </c>
      <c r="C62">
        <v>1</v>
      </c>
      <c r="D62">
        <v>0</v>
      </c>
      <c r="E62">
        <v>4</v>
      </c>
      <c r="F62">
        <v>100</v>
      </c>
      <c r="G62" t="s">
        <v>10</v>
      </c>
      <c r="H62" t="s">
        <v>11</v>
      </c>
      <c r="I62">
        <v>24</v>
      </c>
      <c r="J62" s="2">
        <v>2400000</v>
      </c>
      <c r="K62" s="2">
        <v>3670000</v>
      </c>
    </row>
    <row r="63" spans="1:11" x14ac:dyDescent="0.2">
      <c r="A63" s="1">
        <v>45911</v>
      </c>
      <c r="B63">
        <v>85</v>
      </c>
      <c r="C63">
        <v>2</v>
      </c>
      <c r="D63">
        <v>0</v>
      </c>
      <c r="E63">
        <v>4</v>
      </c>
      <c r="F63">
        <v>100</v>
      </c>
      <c r="G63" t="s">
        <v>10</v>
      </c>
      <c r="H63" t="s">
        <v>11</v>
      </c>
      <c r="I63">
        <v>42</v>
      </c>
      <c r="J63" s="2">
        <v>4200000</v>
      </c>
    </row>
    <row r="64" spans="1:11" x14ac:dyDescent="0.2">
      <c r="A64" s="1">
        <v>45911</v>
      </c>
      <c r="B64">
        <v>85</v>
      </c>
      <c r="C64">
        <v>3</v>
      </c>
      <c r="D64">
        <v>0</v>
      </c>
      <c r="E64">
        <v>4</v>
      </c>
      <c r="F64">
        <v>100</v>
      </c>
      <c r="G64" t="s">
        <v>10</v>
      </c>
      <c r="H64" t="s">
        <v>11</v>
      </c>
      <c r="I64">
        <v>44</v>
      </c>
      <c r="J64" s="2">
        <v>4400000</v>
      </c>
    </row>
    <row r="65" spans="1:11" x14ac:dyDescent="0.2">
      <c r="A65" s="1">
        <v>45911</v>
      </c>
      <c r="B65">
        <v>85</v>
      </c>
      <c r="C65">
        <v>1</v>
      </c>
      <c r="D65">
        <v>0</v>
      </c>
      <c r="E65">
        <v>4</v>
      </c>
      <c r="F65">
        <v>100</v>
      </c>
      <c r="G65" t="s">
        <v>16</v>
      </c>
      <c r="H65" t="s">
        <v>17</v>
      </c>
      <c r="I65">
        <v>23</v>
      </c>
      <c r="J65" s="2">
        <v>2300000</v>
      </c>
      <c r="K65" s="2">
        <v>2170000</v>
      </c>
    </row>
    <row r="66" spans="1:11" x14ac:dyDescent="0.2">
      <c r="A66" s="1">
        <v>45911</v>
      </c>
      <c r="B66">
        <v>85</v>
      </c>
      <c r="C66">
        <v>2</v>
      </c>
      <c r="D66">
        <v>0</v>
      </c>
      <c r="E66">
        <v>4</v>
      </c>
      <c r="F66">
        <v>100</v>
      </c>
      <c r="G66" t="s">
        <v>16</v>
      </c>
      <c r="H66" t="s">
        <v>17</v>
      </c>
      <c r="I66">
        <v>14</v>
      </c>
      <c r="J66" s="2">
        <v>1400000</v>
      </c>
    </row>
    <row r="67" spans="1:11" x14ac:dyDescent="0.2">
      <c r="A67" s="1">
        <v>45911</v>
      </c>
      <c r="B67">
        <v>85</v>
      </c>
      <c r="C67">
        <v>3</v>
      </c>
      <c r="D67">
        <v>0</v>
      </c>
      <c r="E67">
        <v>4</v>
      </c>
      <c r="F67">
        <v>100</v>
      </c>
      <c r="G67" t="s">
        <v>16</v>
      </c>
      <c r="H67" t="s">
        <v>17</v>
      </c>
      <c r="I67">
        <v>28</v>
      </c>
      <c r="J67" s="2">
        <v>2800000</v>
      </c>
    </row>
    <row r="68" spans="1:11" x14ac:dyDescent="0.2">
      <c r="A68" s="1">
        <v>45911</v>
      </c>
      <c r="B68">
        <v>85</v>
      </c>
      <c r="C68">
        <v>1</v>
      </c>
      <c r="D68">
        <v>2</v>
      </c>
      <c r="E68">
        <v>4</v>
      </c>
      <c r="F68">
        <v>100</v>
      </c>
      <c r="G68" t="s">
        <v>10</v>
      </c>
      <c r="H68" t="s">
        <v>11</v>
      </c>
      <c r="I68">
        <v>61</v>
      </c>
      <c r="J68" s="2">
        <v>6100000</v>
      </c>
      <c r="K68" s="2">
        <v>9400000</v>
      </c>
    </row>
    <row r="69" spans="1:11" x14ac:dyDescent="0.2">
      <c r="A69" s="1">
        <v>45911</v>
      </c>
      <c r="B69">
        <v>85</v>
      </c>
      <c r="C69">
        <v>2</v>
      </c>
      <c r="D69">
        <v>2</v>
      </c>
      <c r="E69">
        <v>4</v>
      </c>
      <c r="F69">
        <v>100</v>
      </c>
      <c r="G69" t="s">
        <v>10</v>
      </c>
      <c r="H69" t="s">
        <v>11</v>
      </c>
      <c r="I69">
        <v>104</v>
      </c>
      <c r="J69" s="2">
        <v>10400000</v>
      </c>
    </row>
    <row r="70" spans="1:11" x14ac:dyDescent="0.2">
      <c r="A70" s="1">
        <v>45911</v>
      </c>
      <c r="B70">
        <v>85</v>
      </c>
      <c r="C70">
        <v>3</v>
      </c>
      <c r="D70">
        <v>2</v>
      </c>
      <c r="E70">
        <v>4</v>
      </c>
      <c r="F70">
        <v>100</v>
      </c>
      <c r="G70" t="s">
        <v>10</v>
      </c>
      <c r="H70" t="s">
        <v>11</v>
      </c>
      <c r="I70">
        <v>117</v>
      </c>
      <c r="J70" s="2">
        <v>11700000</v>
      </c>
    </row>
    <row r="71" spans="1:11" x14ac:dyDescent="0.2">
      <c r="A71" s="1">
        <v>45911</v>
      </c>
      <c r="B71">
        <v>85</v>
      </c>
      <c r="C71">
        <v>1</v>
      </c>
      <c r="D71">
        <v>2</v>
      </c>
      <c r="E71">
        <v>4</v>
      </c>
      <c r="F71">
        <v>100</v>
      </c>
      <c r="G71" t="s">
        <v>16</v>
      </c>
      <c r="H71" t="s">
        <v>17</v>
      </c>
      <c r="I71">
        <v>42</v>
      </c>
      <c r="J71" s="2">
        <v>4200000</v>
      </c>
      <c r="K71" s="2">
        <v>5300000</v>
      </c>
    </row>
    <row r="72" spans="1:11" x14ac:dyDescent="0.2">
      <c r="A72" s="1">
        <v>45911</v>
      </c>
      <c r="B72">
        <v>85</v>
      </c>
      <c r="C72">
        <v>2</v>
      </c>
      <c r="D72">
        <v>2</v>
      </c>
      <c r="E72">
        <v>4</v>
      </c>
      <c r="F72">
        <v>100</v>
      </c>
      <c r="G72" t="s">
        <v>16</v>
      </c>
      <c r="H72" t="s">
        <v>17</v>
      </c>
      <c r="I72">
        <v>52</v>
      </c>
      <c r="J72" s="2">
        <v>5200000</v>
      </c>
    </row>
    <row r="73" spans="1:11" x14ac:dyDescent="0.2">
      <c r="A73" s="1">
        <v>45911</v>
      </c>
      <c r="B73">
        <v>85</v>
      </c>
      <c r="C73">
        <v>3</v>
      </c>
      <c r="D73">
        <v>2</v>
      </c>
      <c r="E73">
        <v>4</v>
      </c>
      <c r="F73">
        <v>100</v>
      </c>
      <c r="G73" t="s">
        <v>16</v>
      </c>
      <c r="H73" t="s">
        <v>17</v>
      </c>
      <c r="I73">
        <v>65</v>
      </c>
      <c r="J73" s="2">
        <v>6500000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445F-97E0-ED49-814F-9F8D5CEFE7AF}">
  <dimension ref="A1:K7"/>
  <sheetViews>
    <sheetView workbookViewId="0">
      <selection activeCell="F14" sqref="F1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s="4" t="s">
        <v>25</v>
      </c>
      <c r="D1" s="3" t="s">
        <v>26</v>
      </c>
      <c r="E1" s="3" t="s">
        <v>3</v>
      </c>
      <c r="F1" s="3" t="s">
        <v>32</v>
      </c>
      <c r="G1" s="3" t="s">
        <v>27</v>
      </c>
      <c r="H1" s="3" t="s">
        <v>28</v>
      </c>
      <c r="I1" s="3" t="s">
        <v>29</v>
      </c>
      <c r="J1" s="3" t="s">
        <v>22</v>
      </c>
      <c r="K1" s="3" t="s">
        <v>30</v>
      </c>
    </row>
    <row r="2" spans="1:11" x14ac:dyDescent="0.2">
      <c r="A2" s="1">
        <v>45861</v>
      </c>
      <c r="B2">
        <v>84</v>
      </c>
      <c r="C2" s="5">
        <v>0.55138888888888893</v>
      </c>
      <c r="D2" s="5">
        <v>0.59444444444444444</v>
      </c>
      <c r="E2" s="5">
        <f>D2-C2</f>
        <v>4.3055555555555514E-2</v>
      </c>
      <c r="F2" s="6">
        <f>E2*24</f>
        <v>1.0333333333333323</v>
      </c>
      <c r="G2">
        <v>57</v>
      </c>
      <c r="H2">
        <v>27</v>
      </c>
      <c r="I2">
        <v>84</v>
      </c>
      <c r="J2" s="6">
        <f>H2/I2</f>
        <v>0.32142857142857145</v>
      </c>
      <c r="K2">
        <v>120</v>
      </c>
    </row>
    <row r="3" spans="1:11" x14ac:dyDescent="0.2">
      <c r="A3" s="1">
        <v>45861</v>
      </c>
      <c r="B3">
        <v>85</v>
      </c>
      <c r="C3" s="5">
        <v>0.55486111111111114</v>
      </c>
      <c r="D3" s="5">
        <v>0.63958333333333328</v>
      </c>
      <c r="E3" s="5">
        <f>D3-C3</f>
        <v>8.4722222222222143E-2</v>
      </c>
      <c r="F3" s="6">
        <f t="shared" ref="F3:F7" si="0">E3*24</f>
        <v>2.0333333333333314</v>
      </c>
      <c r="G3">
        <v>4</v>
      </c>
      <c r="H3">
        <v>80</v>
      </c>
      <c r="I3">
        <v>84</v>
      </c>
      <c r="J3" s="6">
        <f t="shared" ref="J3:J7" si="1">H3/I3</f>
        <v>0.95238095238095233</v>
      </c>
      <c r="K3">
        <v>120</v>
      </c>
    </row>
    <row r="4" spans="1:11" x14ac:dyDescent="0.2">
      <c r="A4" s="1">
        <v>45894</v>
      </c>
      <c r="B4">
        <v>84</v>
      </c>
      <c r="C4" s="5">
        <v>0.53333333333333333</v>
      </c>
      <c r="D4" s="5">
        <v>0.57777777777777772</v>
      </c>
      <c r="E4" s="5">
        <f>D4-C4</f>
        <v>4.4444444444444398E-2</v>
      </c>
      <c r="F4" s="6">
        <f t="shared" si="0"/>
        <v>1.0666666666666655</v>
      </c>
      <c r="G4">
        <v>52</v>
      </c>
      <c r="H4">
        <v>32</v>
      </c>
      <c r="I4">
        <v>84</v>
      </c>
      <c r="J4" s="6">
        <f t="shared" si="1"/>
        <v>0.38095238095238093</v>
      </c>
      <c r="K4">
        <v>80</v>
      </c>
    </row>
    <row r="5" spans="1:11" x14ac:dyDescent="0.2">
      <c r="A5" s="1">
        <v>45894</v>
      </c>
      <c r="B5">
        <v>85</v>
      </c>
      <c r="C5" s="5">
        <v>0.54027777777777775</v>
      </c>
      <c r="D5" s="5">
        <v>0.62569444444444444</v>
      </c>
      <c r="E5" s="5">
        <f>D5-C5</f>
        <v>8.5416666666666696E-2</v>
      </c>
      <c r="F5" s="6">
        <f t="shared" si="0"/>
        <v>2.0500000000000007</v>
      </c>
      <c r="G5">
        <v>4</v>
      </c>
      <c r="H5">
        <v>80</v>
      </c>
      <c r="I5">
        <v>84</v>
      </c>
      <c r="J5" s="6">
        <f t="shared" si="1"/>
        <v>0.95238095238095233</v>
      </c>
      <c r="K5">
        <v>80</v>
      </c>
    </row>
    <row r="6" spans="1:11" x14ac:dyDescent="0.2">
      <c r="A6" s="1">
        <v>45911</v>
      </c>
      <c r="B6">
        <v>84</v>
      </c>
      <c r="C6" s="5">
        <v>0.52916666666666667</v>
      </c>
      <c r="D6" s="5">
        <v>0.57361111111111107</v>
      </c>
      <c r="E6" s="5">
        <f>D6-C6</f>
        <v>4.4444444444444398E-2</v>
      </c>
      <c r="F6" s="6">
        <f t="shared" si="0"/>
        <v>1.0666666666666655</v>
      </c>
      <c r="G6">
        <v>45</v>
      </c>
      <c r="H6">
        <v>39</v>
      </c>
      <c r="I6">
        <v>84</v>
      </c>
      <c r="J6" s="6">
        <f t="shared" si="1"/>
        <v>0.4642857142857143</v>
      </c>
      <c r="K6">
        <v>91</v>
      </c>
    </row>
    <row r="7" spans="1:11" x14ac:dyDescent="0.2">
      <c r="A7" s="1">
        <v>45911</v>
      </c>
      <c r="B7">
        <v>85</v>
      </c>
      <c r="C7" s="5">
        <v>0.53263888888888888</v>
      </c>
      <c r="D7" s="5">
        <v>0.61805555555555558</v>
      </c>
      <c r="E7" s="5">
        <f>D7-C7</f>
        <v>8.5416666666666696E-2</v>
      </c>
      <c r="F7" s="6">
        <f t="shared" si="0"/>
        <v>2.0500000000000007</v>
      </c>
      <c r="G7">
        <v>2</v>
      </c>
      <c r="H7">
        <v>82</v>
      </c>
      <c r="I7">
        <v>84</v>
      </c>
      <c r="J7" s="6">
        <f t="shared" si="1"/>
        <v>0.97619047619047616</v>
      </c>
      <c r="K7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9C33-57CB-464E-A0F7-66C6BF00EB3E}">
  <dimension ref="A2:H33"/>
  <sheetViews>
    <sheetView tabSelected="1" workbookViewId="0">
      <selection activeCell="B9" sqref="B9"/>
    </sheetView>
  </sheetViews>
  <sheetFormatPr baseColWidth="10" defaultRowHeight="16" x14ac:dyDescent="0.2"/>
  <sheetData>
    <row r="2" spans="1:8" x14ac:dyDescent="0.2">
      <c r="A2" t="s">
        <v>12</v>
      </c>
      <c r="B2" t="s">
        <v>13</v>
      </c>
      <c r="D2" t="s">
        <v>12</v>
      </c>
      <c r="E2" t="s">
        <v>13</v>
      </c>
      <c r="G2" t="s">
        <v>1</v>
      </c>
      <c r="H2" t="s">
        <v>19</v>
      </c>
    </row>
    <row r="3" spans="1:8" x14ac:dyDescent="0.2">
      <c r="A3" t="s">
        <v>14</v>
      </c>
      <c r="B3">
        <v>10</v>
      </c>
      <c r="D3" t="s">
        <v>14</v>
      </c>
      <c r="E3">
        <v>10</v>
      </c>
      <c r="G3">
        <v>84</v>
      </c>
      <c r="H3" s="2">
        <f>AVERAGE(B11,B22,B33)</f>
        <v>2.4400000000000001E-12</v>
      </c>
    </row>
    <row r="4" spans="1:8" x14ac:dyDescent="0.2">
      <c r="A4" t="s">
        <v>15</v>
      </c>
      <c r="B4" s="2">
        <v>2720000</v>
      </c>
      <c r="D4" t="s">
        <v>15</v>
      </c>
      <c r="E4" s="2">
        <v>1210000</v>
      </c>
      <c r="G4">
        <v>85</v>
      </c>
      <c r="H4" s="2">
        <f>AVERAGE(E11,E22,E33)</f>
        <v>1.6566666666666666E-14</v>
      </c>
    </row>
    <row r="5" spans="1:8" x14ac:dyDescent="0.2">
      <c r="A5" t="s">
        <v>18</v>
      </c>
      <c r="B5" s="2">
        <v>1650000</v>
      </c>
      <c r="D5" t="s">
        <v>18</v>
      </c>
      <c r="E5" s="2">
        <v>1750000</v>
      </c>
    </row>
    <row r="6" spans="1:8" x14ac:dyDescent="0.2">
      <c r="A6" t="s">
        <v>20</v>
      </c>
      <c r="B6" s="2">
        <v>3940000</v>
      </c>
      <c r="D6" t="s">
        <v>20</v>
      </c>
      <c r="E6" s="2">
        <v>3160000</v>
      </c>
    </row>
    <row r="7" spans="1:8" x14ac:dyDescent="0.2">
      <c r="A7" t="s">
        <v>21</v>
      </c>
      <c r="B7" s="2">
        <v>2810000</v>
      </c>
      <c r="D7" t="s">
        <v>21</v>
      </c>
      <c r="E7" s="2">
        <v>5120000</v>
      </c>
    </row>
    <row r="8" spans="1:8" x14ac:dyDescent="0.2">
      <c r="A8" t="s">
        <v>22</v>
      </c>
      <c r="B8">
        <v>0.32</v>
      </c>
      <c r="D8" t="s">
        <v>22</v>
      </c>
      <c r="E8">
        <v>0.95</v>
      </c>
    </row>
    <row r="9" spans="1:8" x14ac:dyDescent="0.2">
      <c r="A9" t="s">
        <v>23</v>
      </c>
      <c r="B9">
        <v>1</v>
      </c>
      <c r="D9" t="s">
        <v>23</v>
      </c>
      <c r="E9">
        <v>2</v>
      </c>
    </row>
    <row r="11" spans="1:8" x14ac:dyDescent="0.2">
      <c r="A11" t="s">
        <v>24</v>
      </c>
      <c r="B11" s="2">
        <v>1.56E-12</v>
      </c>
      <c r="D11" t="s">
        <v>24</v>
      </c>
      <c r="E11" s="2">
        <v>3.5299999999999999E-14</v>
      </c>
    </row>
    <row r="13" spans="1:8" x14ac:dyDescent="0.2">
      <c r="A13" t="s">
        <v>12</v>
      </c>
      <c r="B13" t="s">
        <v>13</v>
      </c>
      <c r="D13" t="s">
        <v>12</v>
      </c>
      <c r="E13" t="s">
        <v>13</v>
      </c>
    </row>
    <row r="14" spans="1:8" x14ac:dyDescent="0.2">
      <c r="A14" t="s">
        <v>14</v>
      </c>
      <c r="B14">
        <v>10</v>
      </c>
      <c r="D14" t="s">
        <v>14</v>
      </c>
      <c r="E14">
        <v>10</v>
      </c>
    </row>
    <row r="15" spans="1:8" x14ac:dyDescent="0.2">
      <c r="A15" t="s">
        <v>15</v>
      </c>
      <c r="B15" s="2">
        <v>3110000</v>
      </c>
      <c r="D15" t="s">
        <v>15</v>
      </c>
      <c r="E15" s="2">
        <v>4730000</v>
      </c>
    </row>
    <row r="16" spans="1:8" x14ac:dyDescent="0.2">
      <c r="A16" t="s">
        <v>18</v>
      </c>
      <c r="B16" s="2">
        <v>1780000</v>
      </c>
      <c r="D16" t="s">
        <v>18</v>
      </c>
      <c r="E16" s="2">
        <v>2420000</v>
      </c>
    </row>
    <row r="17" spans="1:5" x14ac:dyDescent="0.2">
      <c r="A17" t="s">
        <v>20</v>
      </c>
      <c r="B17" s="2">
        <v>3890000</v>
      </c>
      <c r="D17" t="s">
        <v>20</v>
      </c>
      <c r="E17" s="2">
        <v>9670000</v>
      </c>
    </row>
    <row r="18" spans="1:5" x14ac:dyDescent="0.2">
      <c r="A18" t="s">
        <v>21</v>
      </c>
      <c r="B18" s="2">
        <v>3070000</v>
      </c>
      <c r="D18" t="s">
        <v>21</v>
      </c>
      <c r="E18" s="2">
        <v>5370000</v>
      </c>
    </row>
    <row r="19" spans="1:5" x14ac:dyDescent="0.2">
      <c r="A19" t="s">
        <v>22</v>
      </c>
      <c r="B19">
        <v>0.38</v>
      </c>
      <c r="D19" t="s">
        <v>22</v>
      </c>
      <c r="E19">
        <v>0.95</v>
      </c>
    </row>
    <row r="20" spans="1:5" x14ac:dyDescent="0.2">
      <c r="A20" t="s">
        <v>23</v>
      </c>
      <c r="B20">
        <v>1</v>
      </c>
      <c r="D20" t="s">
        <v>23</v>
      </c>
      <c r="E20">
        <v>2</v>
      </c>
    </row>
    <row r="22" spans="1:5" x14ac:dyDescent="0.2">
      <c r="A22" t="s">
        <v>24</v>
      </c>
      <c r="B22" s="2">
        <v>1.1599999999999999E-12</v>
      </c>
      <c r="D22" t="s">
        <v>24</v>
      </c>
      <c r="E22" s="2">
        <v>9.1199999999999999E-15</v>
      </c>
    </row>
    <row r="24" spans="1:5" x14ac:dyDescent="0.2">
      <c r="A24" t="s">
        <v>12</v>
      </c>
      <c r="B24" t="s">
        <v>13</v>
      </c>
      <c r="D24" t="s">
        <v>12</v>
      </c>
      <c r="E24" t="s">
        <v>13</v>
      </c>
    </row>
    <row r="25" spans="1:5" x14ac:dyDescent="0.2">
      <c r="A25" t="s">
        <v>14</v>
      </c>
      <c r="B25">
        <v>10</v>
      </c>
      <c r="D25" t="s">
        <v>14</v>
      </c>
      <c r="E25">
        <v>10</v>
      </c>
    </row>
    <row r="26" spans="1:5" x14ac:dyDescent="0.2">
      <c r="A26" t="s">
        <v>15</v>
      </c>
      <c r="B26" s="2">
        <v>613000</v>
      </c>
      <c r="D26" t="s">
        <v>15</v>
      </c>
      <c r="E26" s="2">
        <v>3670000</v>
      </c>
    </row>
    <row r="27" spans="1:5" x14ac:dyDescent="0.2">
      <c r="A27" t="s">
        <v>18</v>
      </c>
      <c r="B27" s="2">
        <v>2130000</v>
      </c>
      <c r="D27" t="s">
        <v>18</v>
      </c>
      <c r="E27" s="2">
        <v>2170000</v>
      </c>
    </row>
    <row r="28" spans="1:5" x14ac:dyDescent="0.2">
      <c r="A28" t="s">
        <v>20</v>
      </c>
      <c r="B28" s="2">
        <v>653000</v>
      </c>
      <c r="D28" t="s">
        <v>20</v>
      </c>
      <c r="E28" s="2">
        <v>9400000</v>
      </c>
    </row>
    <row r="29" spans="1:5" x14ac:dyDescent="0.2">
      <c r="A29" t="s">
        <v>21</v>
      </c>
      <c r="B29" s="2">
        <v>3200000</v>
      </c>
      <c r="D29" t="s">
        <v>21</v>
      </c>
      <c r="E29" s="2">
        <v>5300000</v>
      </c>
    </row>
    <row r="30" spans="1:5" x14ac:dyDescent="0.2">
      <c r="A30" t="s">
        <v>22</v>
      </c>
      <c r="B30">
        <v>0.46</v>
      </c>
      <c r="D30" t="s">
        <v>22</v>
      </c>
      <c r="E30">
        <v>0.98</v>
      </c>
    </row>
    <row r="31" spans="1:5" x14ac:dyDescent="0.2">
      <c r="A31" t="s">
        <v>23</v>
      </c>
      <c r="B31">
        <v>1</v>
      </c>
      <c r="D31" t="s">
        <v>23</v>
      </c>
      <c r="E31">
        <v>2</v>
      </c>
    </row>
    <row r="33" spans="1:5" x14ac:dyDescent="0.2">
      <c r="A33" t="s">
        <v>24</v>
      </c>
      <c r="B33" s="2">
        <v>4.5999999999999998E-12</v>
      </c>
      <c r="D33" t="s">
        <v>24</v>
      </c>
      <c r="E33" s="2">
        <v>5.2799999999999998E-15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2026-02-18_compiled_LDM_plating</vt:lpstr>
      <vt:lpstr>turbidity</vt:lpstr>
      <vt:lpstr>LDM_estimate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S Duan</cp:lastModifiedBy>
  <dcterms:created xsi:type="dcterms:W3CDTF">2026-05-24T22:42:36Z</dcterms:created>
  <dcterms:modified xsi:type="dcterms:W3CDTF">2026-05-25T00:50:15Z</dcterms:modified>
</cp:coreProperties>
</file>